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TG21_Slave_Device_Amply_V1.2\Documents\BOM\"/>
    </mc:Choice>
  </mc:AlternateContent>
  <xr:revisionPtr revIDLastSave="0" documentId="13_ncr:1_{721155DA-52EC-4EC3-86EE-D5293E242DDA}" xr6:coauthVersionLast="47" xr6:coauthVersionMax="47" xr10:uidLastSave="{00000000-0000-0000-0000-000000000000}"/>
  <bookViews>
    <workbookView xWindow="-108" yWindow="-108" windowWidth="23256" windowHeight="12576" xr2:uid="{05A205A6-2DC1-45FA-A202-1318B1307111}"/>
  </bookViews>
  <sheets>
    <sheet name="TG21_Slave_Device_Amply_V1.2" sheetId="1" r:id="rId1"/>
  </sheets>
  <definedNames>
    <definedName name="_xlnm.Print_Titles" localSheetId="0">TG21_Slave_Device_Amply_V1.2!$8:$8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<sst xmlns="http://schemas.openxmlformats.org/spreadsheetml/2006/main" count="294" uniqueCount="195">
  <si>
    <t>Description</t>
  </si>
  <si>
    <t>Designator</t>
  </si>
  <si>
    <t>Quantity</t>
  </si>
  <si>
    <t>ComponentLink1URL</t>
  </si>
  <si>
    <t>1uF</t>
  </si>
  <si>
    <t>1uF ±10% 50V Ceramic Capacitor X7R 0603</t>
  </si>
  <si>
    <t>C1, C11, C21, C22, C36, C37, C50</t>
  </si>
  <si>
    <t>CC0603KRX7R9BB105</t>
  </si>
  <si>
    <t>YAGEO</t>
  </si>
  <si>
    <t>https://www.lcsc.com/product-detail/C559769.html?s_z=n_CC0603KRX7R9BB105</t>
  </si>
  <si>
    <t>10uF</t>
  </si>
  <si>
    <t>10uF 50V Aluminum Electrolytic Capacitors Through Hole,D5xL11mm 5000hrs@105℃</t>
  </si>
  <si>
    <t>C2</t>
  </si>
  <si>
    <t>50YXF10MEFC5X11</t>
  </si>
  <si>
    <t>Rubycon</t>
  </si>
  <si>
    <t>https://www.lcsc.com/product-detail/C88726.html</t>
  </si>
  <si>
    <t>33nF</t>
  </si>
  <si>
    <t>33nF ±10% 50V Ceramic Capacitor X7R 0603</t>
  </si>
  <si>
    <t>C3, C7, C33, C38</t>
  </si>
  <si>
    <t>CC0603KRX7R9BB333</t>
  </si>
  <si>
    <t>https://www.lcsc.com/product-detail/C106856.html?s_z=n_CC0603KRX7R9BB333</t>
  </si>
  <si>
    <t>22pF</t>
  </si>
  <si>
    <t>22pF ±5% 50V Ceramic Capacitor NP0 0603</t>
  </si>
  <si>
    <t>C4, C5</t>
  </si>
  <si>
    <t>CC0603JRNPO9BN220</t>
  </si>
  <si>
    <t>https://www.lcsc.com/product-detail/C105620.html?s_z=n_CC0603JRNPO9BN220</t>
  </si>
  <si>
    <t>10nF</t>
  </si>
  <si>
    <t>10nF ±5% 50V Ceramic Capacitor X7R 0603</t>
  </si>
  <si>
    <t>C6, C20</t>
  </si>
  <si>
    <t>CC0603JRX7R9BB103</t>
  </si>
  <si>
    <t>https://www.lcsc.com/product-detail/C115056.html?s_z=n_C115056</t>
  </si>
  <si>
    <t>100nF</t>
  </si>
  <si>
    <t>100nF ±10% 50V Ceramic Capacitor X7R 0603</t>
  </si>
  <si>
    <t>C8, C15, C17, C28, C29, C30, C44</t>
  </si>
  <si>
    <t>CC0603KRX7R9BB104</t>
  </si>
  <si>
    <t>https://www.lcsc.com/product-detail/C14663.html?s_z=n_C14663</t>
  </si>
  <si>
    <t>10uF ±20% 25V Ceramic Capacitor X5R 0603</t>
  </si>
  <si>
    <t>C9, C18, C23, C26, C32</t>
  </si>
  <si>
    <t>CL10A106MA8NRNC</t>
  </si>
  <si>
    <t>Samsung Electro-Mechanics</t>
  </si>
  <si>
    <t>https://www.lcsc.com/product-detail/C96446.html?s_z=n_CL10A106MA8NRNC</t>
  </si>
  <si>
    <t>470nF</t>
  </si>
  <si>
    <t>470nF ±10% 100V Ceramic Capacitor X7R 1206</t>
  </si>
  <si>
    <t>C10, C16, C24, C25</t>
  </si>
  <si>
    <t>1206B474K101NT</t>
  </si>
  <si>
    <t>FH</t>
  </si>
  <si>
    <t>https://www.lcsc.com/product-detail/C507059.html</t>
  </si>
  <si>
    <t>1nF</t>
  </si>
  <si>
    <t>1nF ±10% 50V Ceramic Capacitor X7R 0603</t>
  </si>
  <si>
    <t>C12, C19</t>
  </si>
  <si>
    <t>CC0603KRX7R9BB102</t>
  </si>
  <si>
    <t>https://www.lcsc.com/product-detail/C100040.html?s_z=n_C100040</t>
  </si>
  <si>
    <t>100pF</t>
  </si>
  <si>
    <t>100pF ±5% 50V Ceramic Capacitor C0G 0603</t>
  </si>
  <si>
    <t>C13, C14</t>
  </si>
  <si>
    <t>CL10C101JB8NNNC</t>
  </si>
  <si>
    <t>https://www.lcsc.com/product-detail/C14858.html?s_z=n_CL10C101JBNNNC</t>
  </si>
  <si>
    <t>470uF</t>
  </si>
  <si>
    <t>470uF 50V Aluminum Electrolytic Capacitors Through Hole,D10xL20mm 2000hrs@105℃</t>
  </si>
  <si>
    <t>C27, C35</t>
  </si>
  <si>
    <t>50PX470MEFC10X20</t>
  </si>
  <si>
    <t>https://www.lcsc.com/product-detail/C88733.html</t>
  </si>
  <si>
    <t>XT60PW-M</t>
  </si>
  <si>
    <t>Banana and Tip Connector Adapters RoHS</t>
  </si>
  <si>
    <t>CN2, CN3</t>
  </si>
  <si>
    <t>Changzhou Amass Elec</t>
  </si>
  <si>
    <t>https://www.lcsc.com/product-detail/C98732.html?s_z=n_XT60</t>
  </si>
  <si>
    <t>XH2.54-3P</t>
  </si>
  <si>
    <t>Connector Header 3 position 2.5mm Pitch 3A Through Hole -25℃~+85℃</t>
  </si>
  <si>
    <t>CN4</t>
  </si>
  <si>
    <t>BX-XH2.54-3PZZ</t>
  </si>
  <si>
    <t>Bossie</t>
  </si>
  <si>
    <t>https://www.lcsc.com/product-detail/C18077834.html?s_z=n_BX-XH2.54-3PZZ</t>
  </si>
  <si>
    <t>PH2.54-2P</t>
  </si>
  <si>
    <t>Pin Header 2 Position 2.54mm Pitch Single Row Through Hole -40℃~+105℃</t>
  </si>
  <si>
    <t>CN7</t>
  </si>
  <si>
    <t>PH2.54-1X2P-H25</t>
  </si>
  <si>
    <t>JXTCONN</t>
  </si>
  <si>
    <t>https://www.lcsc.com/product-detail/C42431798.html?s_z=n_2.54-1%2a2P</t>
  </si>
  <si>
    <t>DB9_Male_RightAngle</t>
  </si>
  <si>
    <t>Connector D-Sub, Male 9 Position 2 Row Through Hole, Right Angle</t>
  </si>
  <si>
    <t>DB1</t>
  </si>
  <si>
    <t>XUNPU</t>
  </si>
  <si>
    <t>https://www.lcsc.com/product-detail/C19077344.html?s_z=n_q_p_DB9%2520male&amp;spm=wm.ssy.bg.0.xh&amp;lcsc_vid=Q1VfX1ReRFFaUFJSRgIIUV0CFFgIBFJfT1hdVlwEEVkxVlNRT1RZXlVVRlhaVjsOAxUeFF5JWBYZEEoKFBINSQcJGk4dAgUUFAk%3D</t>
  </si>
  <si>
    <t>10uH</t>
  </si>
  <si>
    <t>10uH SMD, 21.5x22.5mm, 5mΩ, Isat 12A</t>
  </si>
  <si>
    <t>L1, L6</t>
  </si>
  <si>
    <t>NO</t>
  </si>
  <si>
    <t>MTP2012S-100MC</t>
  </si>
  <si>
    <t>https://detail.tmall.com/item.htm?abbucket=13&amp;id=830337168403&amp;mi_id=0000HfZtw201IDY-IbBo5SBGln4Rs-xlnrA7bLsp8-ByO4c&amp;ns=1&amp;priceTId=2100cff517743435818743772e0cc2&amp;skuId=5563931960630&amp;spm=a21n57.1.hoverItem.11&amp;utparam=%7B%22aplus_abtest%22%3A%2250db852e2facc06d265983063d788b35%22%7D&amp;xxc=taobaoSearch</t>
  </si>
  <si>
    <t>250mA 10uH 90mA 1.05Ω Multilayer inductor ±20% 0603 Fixed Inductors RoHS</t>
  </si>
  <si>
    <t>L2</t>
  </si>
  <si>
    <t>MLZ1608M100WT000</t>
  </si>
  <si>
    <t>TDK</t>
  </si>
  <si>
    <t>https://www.lcsc.com/product-detail/C76798.html</t>
  </si>
  <si>
    <t>1.2A 10uH Magnetic Shielded Inductor ±20% 1.6A 234mΩ SMD,4x4mm Fixed Inductors RoHS</t>
  </si>
  <si>
    <t>L3</t>
  </si>
  <si>
    <t>FNR4018S100MT</t>
  </si>
  <si>
    <t>cjiang</t>
  </si>
  <si>
    <t>YELLOW</t>
  </si>
  <si>
    <t>0603 YELLOW</t>
  </si>
  <si>
    <t>LED1, LED2</t>
  </si>
  <si>
    <t>HF</t>
  </si>
  <si>
    <t>Bipolar (BJT) Transistor NPN 50V 0.15A 80MHz 200mW Surface Mount SOT-23</t>
  </si>
  <si>
    <t>Q1</t>
  </si>
  <si>
    <t>2SC1815</t>
  </si>
  <si>
    <t>R+O</t>
  </si>
  <si>
    <t>https://www.lcsc.com/product-detail/C20069143.html?s_z=n_2SC1815</t>
  </si>
  <si>
    <t>10K</t>
  </si>
  <si>
    <t>100mW 10kΩ 75V Thick Film Resistor ±100ppm/℃ ±1% 0603 Chip Resistor - Surface Mount RoHS</t>
  </si>
  <si>
    <t>R1, R2, R5, R7, R12, R13, R26, R27</t>
  </si>
  <si>
    <t>RC0603FR-0710KL</t>
  </si>
  <si>
    <t>https://www.lcsc.com/product-detail/C98220.html?s_z=n_C98220</t>
  </si>
  <si>
    <t>3R3</t>
  </si>
  <si>
    <t>100mW 3.3Ω 75V Thick Film Resistor ±1% ±200ppm/℃ 0603 Chip Resistor - Surface Mount RoHS</t>
  </si>
  <si>
    <t>R3, R6</t>
  </si>
  <si>
    <t>RC0603FR-073R3L</t>
  </si>
  <si>
    <t>https://www.lcsc.com/product-detail/C137725.html?s_z=n_RC0603FR-073R3L</t>
  </si>
  <si>
    <t>100R</t>
  </si>
  <si>
    <t>100mW 100Ω 75V Thick Film Resistor ±100ppm/℃ ±1% 0603 Chip Resistor - Surface Mount RoHS</t>
  </si>
  <si>
    <t>R4, R8</t>
  </si>
  <si>
    <t>RC0603FR-07100KL</t>
  </si>
  <si>
    <t>https://www.lcsc.com/product-detail/C105588.html?s_z=n_RC0603FR-07100RL</t>
  </si>
  <si>
    <t>0R</t>
  </si>
  <si>
    <t>0Ω 100mW 75V Thick Film Resistor ±1% 0603 Chip Resistor - Surface Mount RoHS</t>
  </si>
  <si>
    <t>R9, R11</t>
  </si>
  <si>
    <t>RC0603FR-070RL</t>
  </si>
  <si>
    <t>https://www.lcsc.com/product-detail/C100044.html?s_z=n_0R</t>
  </si>
  <si>
    <t>100K</t>
  </si>
  <si>
    <t>100mW 100kΩ 75V Thick Film Resistor ±100ppm/℃ ±1% 0603 Chip Resistor - Surface Mount RoHS</t>
  </si>
  <si>
    <t>R10</t>
  </si>
  <si>
    <t>https://www.lcsc.com/product-detail/C14675.html?s_z=n_RC0603FR-07100KL</t>
  </si>
  <si>
    <t>22K</t>
  </si>
  <si>
    <t>100mW 22kΩ 75V Thick Film Resistor ±100ppm/℃ ±1% 0603 Chip Resistor - Surface Mount RoHS</t>
  </si>
  <si>
    <t>R18</t>
  </si>
  <si>
    <t>RC0603FR-0722KL</t>
  </si>
  <si>
    <t>https://www.lcsc.com/product-detail/C114065.html?s_z=n_22K</t>
  </si>
  <si>
    <t>30K</t>
  </si>
  <si>
    <t>100mW 30kΩ 75V Thick Film Resistor ±100ppm/℃ ±1% 0603 Chip Resistor - Surface Mount RoHS</t>
  </si>
  <si>
    <t>R24</t>
  </si>
  <si>
    <t>RC0603FR-0730KL</t>
  </si>
  <si>
    <t>https://www.lcsc.com/product-detail/C100001.html?s_z=n_30K</t>
  </si>
  <si>
    <t>1K</t>
  </si>
  <si>
    <t>100mW 1kΩ 75V Thick Film Resistor ±100ppm/℃ ±1% 0603 Chip Resistor - Surface Mount RoHS</t>
  </si>
  <si>
    <t>R25, R28, R29</t>
  </si>
  <si>
    <t>RC0603FR-071KL</t>
  </si>
  <si>
    <t>https://www.lcsc.com/product-detail/C22548.html?s_z=n_C22548</t>
  </si>
  <si>
    <t>TPA3255D2</t>
  </si>
  <si>
    <t>Amplifier IC 2-Channel (Stereo) Class D 44-HTSSOP</t>
  </si>
  <si>
    <t>U1</t>
  </si>
  <si>
    <t>Texas Instruments</t>
  </si>
  <si>
    <t>https://www.digikey.com/en/products/detail/texas-instruments/TPA3255DDVR/6235425</t>
  </si>
  <si>
    <t>NE5532</t>
  </si>
  <si>
    <t>2 500uV 9V/us 100dB 1uA 16mA 10MHz SOIC-8 Instrumentation, Op Amps, Buffer Amps RoHS</t>
  </si>
  <si>
    <t>U2</t>
  </si>
  <si>
    <t>TI</t>
  </si>
  <si>
    <t>https://www.lcsc.com/product-detail/C7426.html?s_z=n_q_ne5532&amp;spm=wm.fly.bg.0.xh&amp;lcsc_vid=Q1VfX1ReRFFaUFJSRgIIUV0CFFgIBFJfT1hdVlwEEVkxVlNRT1RZX11SQlhYUzsOAxUeFF5JWBYZEEoKFBINSQcJGk4eFQsCAgIaSgADAwAHC0slT1RfV1RIHxUDCw%3D%3D</t>
  </si>
  <si>
    <t>STT
(No.)</t>
  </si>
  <si>
    <t>Chủng loại
(Type)</t>
  </si>
  <si>
    <t>Capacitor</t>
  </si>
  <si>
    <t>Connector</t>
  </si>
  <si>
    <t>IC</t>
  </si>
  <si>
    <t>Transistor</t>
  </si>
  <si>
    <t>Resistor</t>
  </si>
  <si>
    <t>Loại Hàng Hóa
(Category)</t>
  </si>
  <si>
    <t>Nhà sản xuất
(Manufacturer)</t>
  </si>
  <si>
    <t>PartNumber</t>
  </si>
  <si>
    <t>Số lượng cần thiết gia công
(Quantity)</t>
  </si>
  <si>
    <t>Đơn vị
(Unit)</t>
  </si>
  <si>
    <t>Pcs</t>
  </si>
  <si>
    <t>Kiểu hàn
(Assembly)</t>
  </si>
  <si>
    <t>Díp Soldering</t>
  </si>
  <si>
    <t>SMT</t>
  </si>
  <si>
    <t>LED</t>
  </si>
  <si>
    <t>Header</t>
  </si>
  <si>
    <t>Inductor</t>
  </si>
  <si>
    <t>https://www.lcsc.com/product-detail/C19273152.html?s_z=n_q_0603%2520led%2520yellow&amp;spm=wm.fly.bg.0.xh&amp;lcsc_vid=Q1VfX1ReRFFaUFJSRgIIUV0CFFgIBFJfT1hdVlwEEVkxVlNRT1ddVFdVRlhaUTsOAxUeFF5JWBYZEEoKFBINSQcJGk4dAgUUFAk%3D</t>
  </si>
  <si>
    <t>YLED0603Y</t>
  </si>
  <si>
    <t>YONGYUTAI</t>
  </si>
  <si>
    <t>https://www.lcsc.com/product-detail/C167808.html?s_z=n_q_C167808&amp;globalKeyword=C167808</t>
  </si>
  <si>
    <t>Dự án</t>
  </si>
  <si>
    <t>Version</t>
  </si>
  <si>
    <t>Thuộc sản phẩm</t>
  </si>
  <si>
    <t>Cấu hình</t>
  </si>
  <si>
    <t>Kiểu danh sách</t>
  </si>
  <si>
    <t>Linh Kiện</t>
  </si>
  <si>
    <t>Người làm danh sách</t>
  </si>
  <si>
    <t>Đỗ Danh Lượng</t>
  </si>
  <si>
    <t xml:space="preserve">Ngày Thực Hiện </t>
  </si>
  <si>
    <t>Người kiểm tra</t>
  </si>
  <si>
    <t>Hoàng Văn Thành</t>
  </si>
  <si>
    <t xml:space="preserve">Ngày Cập Nhật </t>
  </si>
  <si>
    <t>TPA3255DDVR</t>
  </si>
  <si>
    <t>NE5532DR</t>
  </si>
  <si>
    <t>D-SUB-DR-9PCG-BB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</si>
</sst>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AA94-423B-471B-A330-4D0EA75751E1}">
  <dimension ref="A1:L39"/>
  <sheetViews>
    <sheetView tabSelected="1" topLeftCell="A8" zoomScale="85" zoomScaleNormal="85" workbookViewId="0">
      <selection activeCell="F23" sqref="F23"/>
    </sheetView>
  </sheetViews>
  <sheetFormatPr defaultRowHeight="14.4" x14ac:dyDescent="0.3"/>
  <cols>
    <col min="2" max="2" width="14.21875" customWidth="1"/>
    <col min="3" max="3" width="19" customWidth="1"/>
    <col min="4" max="4" width="33.6640625" hidden="1" customWidth="1"/>
    <col min="5" max="5" width="26.88671875" customWidth="1"/>
    <col min="6" max="6" width="23.109375" customWidth="1"/>
    <col min="7" max="10" width="19" customWidth="1"/>
    <col min="11" max="11" width="16" customWidth="1"/>
    <col min="12" max="12" width="16" style="11" customWidth="1"/>
  </cols>
  <sheetData>
    <row r="1" spans="1:12" s="18" customFormat="1" ht="20.399999999999999" x14ac:dyDescent="0.25">
      <c r="A1" s="12"/>
      <c r="B1" s="13"/>
      <c r="C1" s="14" t="s">
        <v>180</v>
      </c>
      <c r="D1" s="15"/>
      <c r="E1" s="15" t="s">
        <v>181</v>
      </c>
      <c r="F1" s="16"/>
      <c r="G1" s="17"/>
      <c r="K1" s="13"/>
    </row>
    <row r="2" spans="1:12" s="18" customFormat="1" ht="13.2" x14ac:dyDescent="0.25">
      <c r="A2" s="12"/>
      <c r="B2" s="13"/>
      <c r="C2" s="19" t="s">
        <v>182</v>
      </c>
      <c r="D2" s="20"/>
      <c r="E2" s="21"/>
      <c r="F2" s="22"/>
      <c r="G2" s="23"/>
      <c r="K2" s="13"/>
    </row>
    <row r="3" spans="1:12" s="18" customFormat="1" ht="13.2" x14ac:dyDescent="0.25">
      <c r="A3" s="12"/>
      <c r="B3" s="13"/>
      <c r="C3" s="19" t="s">
        <v>183</v>
      </c>
      <c r="D3" s="20"/>
      <c r="E3" s="24"/>
      <c r="F3" s="25"/>
      <c r="G3" s="26"/>
      <c r="K3" s="13"/>
    </row>
    <row r="4" spans="1:12" s="18" customFormat="1" ht="13.2" x14ac:dyDescent="0.25">
      <c r="A4" s="12"/>
      <c r="B4" s="13"/>
      <c r="C4" s="19" t="s">
        <v>184</v>
      </c>
      <c r="D4" s="27" t="s">
        <v>185</v>
      </c>
      <c r="E4" s="28"/>
      <c r="F4" s="29"/>
      <c r="G4" s="30"/>
      <c r="K4" s="13"/>
    </row>
    <row r="5" spans="1:12" s="18" customFormat="1" ht="13.2" x14ac:dyDescent="0.25">
      <c r="A5" s="12"/>
      <c r="B5" s="13"/>
      <c r="C5" s="19" t="s">
        <v>186</v>
      </c>
      <c r="D5" s="27" t="s">
        <v>187</v>
      </c>
      <c r="E5" s="27" t="s">
        <v>188</v>
      </c>
      <c r="F5" s="31">
        <v>46361</v>
      </c>
      <c r="G5" s="32"/>
      <c r="K5" s="13"/>
    </row>
    <row r="6" spans="1:12" s="18" customFormat="1" ht="13.2" x14ac:dyDescent="0.25">
      <c r="A6" s="12"/>
      <c r="B6" s="13"/>
      <c r="C6" s="19" t="s">
        <v>189</v>
      </c>
      <c r="D6" s="27" t="s">
        <v>190</v>
      </c>
      <c r="E6" s="27" t="s">
        <v>191</v>
      </c>
      <c r="F6" s="33"/>
      <c r="G6" s="33"/>
      <c r="K6" s="13"/>
    </row>
    <row r="7" spans="1:12" s="18" customFormat="1" ht="13.2" x14ac:dyDescent="0.25">
      <c r="A7" s="13"/>
      <c r="B7" s="13"/>
      <c r="C7" s="34"/>
      <c r="D7" s="35"/>
      <c r="E7" s="35"/>
      <c r="F7" s="35"/>
      <c r="G7" s="35"/>
      <c r="K7" s="13"/>
    </row>
    <row r="8" spans="1:12" s="1" customFormat="1" ht="42" x14ac:dyDescent="0.3">
      <c r="A8" s="2" t="s">
        <v>157</v>
      </c>
      <c r="B8" s="2" t="s">
        <v>158</v>
      </c>
      <c r="C8" s="4" t="s">
        <v>164</v>
      </c>
      <c r="D8" s="7" t="s">
        <v>0</v>
      </c>
      <c r="E8" s="4" t="s">
        <v>165</v>
      </c>
      <c r="F8" s="4" t="s">
        <v>166</v>
      </c>
      <c r="G8" s="7" t="s">
        <v>1</v>
      </c>
      <c r="H8" s="7" t="s">
        <v>2</v>
      </c>
      <c r="I8" s="4" t="s">
        <v>167</v>
      </c>
      <c r="J8" s="4" t="s">
        <v>168</v>
      </c>
      <c r="K8" s="4" t="s">
        <v>170</v>
      </c>
      <c r="L8" s="8" t="s">
        <v>3</v>
      </c>
    </row>
    <row r="9" spans="1:12" x14ac:dyDescent="0.3">
      <c r="A9" s="3">
        <v>1</v>
      </c>
      <c r="B9" s="3" t="s">
        <v>159</v>
      </c>
      <c r="C9" s="5" t="s">
        <v>4</v>
      </c>
      <c r="D9" s="5" t="s">
        <v>5</v>
      </c>
      <c r="E9" s="5" t="s">
        <v>8</v>
      </c>
      <c r="F9" s="5" t="s">
        <v>7</v>
      </c>
      <c r="G9" s="5" t="s">
        <v>6</v>
      </c>
      <c r="H9" s="6">
        <v>7</v>
      </c>
      <c r="I9" s="6">
        <f>H9*5</f>
        <v>35</v>
      </c>
      <c r="J9" s="3" t="s">
        <v>169</v>
      </c>
      <c r="K9" s="3" t="s">
        <v>172</v>
      </c>
      <c r="L9" s="9" t="s">
        <v>9</v>
      </c>
    </row>
    <row r="10" spans="1:12" x14ac:dyDescent="0.3">
      <c r="A10" s="3">
        <f>A9+1</f>
        <v>2</v>
      </c>
      <c r="B10" s="3" t="s">
        <v>159</v>
      </c>
      <c r="C10" s="5" t="s">
        <v>10</v>
      </c>
      <c r="D10" s="5" t="s">
        <v>11</v>
      </c>
      <c r="E10" s="5" t="s">
        <v>14</v>
      </c>
      <c r="F10" s="5" t="s">
        <v>13</v>
      </c>
      <c r="G10" s="5" t="s">
        <v>12</v>
      </c>
      <c r="H10" s="6">
        <v>1</v>
      </c>
      <c r="I10" s="6">
        <f t="shared" ref="I10:I38" si="0">H10*5</f>
        <v>5</v>
      </c>
      <c r="J10" s="3" t="s">
        <v>169</v>
      </c>
      <c r="K10" s="3" t="s">
        <v>171</v>
      </c>
      <c r="L10" s="9" t="s">
        <v>15</v>
      </c>
    </row>
    <row r="11" spans="1:12" x14ac:dyDescent="0.3">
      <c r="A11" s="3">
        <f>A10+1</f>
        <v>3</v>
      </c>
      <c r="B11" s="3" t="s">
        <v>159</v>
      </c>
      <c r="C11" s="5" t="s">
        <v>16</v>
      </c>
      <c r="D11" s="5" t="s">
        <v>17</v>
      </c>
      <c r="E11" s="5" t="s">
        <v>8</v>
      </c>
      <c r="F11" s="5" t="s">
        <v>19</v>
      </c>
      <c r="G11" s="5" t="s">
        <v>18</v>
      </c>
      <c r="H11" s="6">
        <v>4</v>
      </c>
      <c r="I11" s="6">
        <f t="shared" si="0"/>
        <v>20</v>
      </c>
      <c r="J11" s="3" t="s">
        <v>169</v>
      </c>
      <c r="K11" s="3" t="s">
        <v>172</v>
      </c>
      <c r="L11" s="9" t="s">
        <v>20</v>
      </c>
    </row>
    <row r="12" spans="1:12" x14ac:dyDescent="0.3">
      <c r="A12" s="3">
        <f t="shared" ref="A12:A31" si="1">A11+1</f>
        <v>4</v>
      </c>
      <c r="B12" s="3" t="s">
        <v>159</v>
      </c>
      <c r="C12" s="5" t="s">
        <v>21</v>
      </c>
      <c r="D12" s="5" t="s">
        <v>22</v>
      </c>
      <c r="E12" s="5" t="s">
        <v>8</v>
      </c>
      <c r="F12" s="5" t="s">
        <v>24</v>
      </c>
      <c r="G12" s="5" t="s">
        <v>23</v>
      </c>
      <c r="H12" s="6">
        <v>2</v>
      </c>
      <c r="I12" s="6">
        <f t="shared" si="0"/>
        <v>10</v>
      </c>
      <c r="J12" s="3" t="s">
        <v>169</v>
      </c>
      <c r="K12" s="3" t="s">
        <v>172</v>
      </c>
      <c r="L12" s="9" t="s">
        <v>25</v>
      </c>
    </row>
    <row r="13" spans="1:12" x14ac:dyDescent="0.3">
      <c r="A13" s="3">
        <f t="shared" si="1"/>
        <v>5</v>
      </c>
      <c r="B13" s="3" t="s">
        <v>159</v>
      </c>
      <c r="C13" s="5" t="s">
        <v>26</v>
      </c>
      <c r="D13" s="5" t="s">
        <v>27</v>
      </c>
      <c r="E13" s="5" t="s">
        <v>8</v>
      </c>
      <c r="F13" s="5" t="s">
        <v>29</v>
      </c>
      <c r="G13" s="5" t="s">
        <v>28</v>
      </c>
      <c r="H13" s="6">
        <v>2</v>
      </c>
      <c r="I13" s="6">
        <f t="shared" si="0"/>
        <v>10</v>
      </c>
      <c r="J13" s="3" t="s">
        <v>169</v>
      </c>
      <c r="K13" s="3" t="s">
        <v>172</v>
      </c>
      <c r="L13" s="9" t="s">
        <v>30</v>
      </c>
    </row>
    <row r="14" spans="1:12" x14ac:dyDescent="0.3">
      <c r="A14" s="3">
        <f t="shared" si="1"/>
        <v>6</v>
      </c>
      <c r="B14" s="3" t="s">
        <v>159</v>
      </c>
      <c r="C14" s="5" t="s">
        <v>31</v>
      </c>
      <c r="D14" s="5" t="s">
        <v>32</v>
      </c>
      <c r="E14" s="5" t="s">
        <v>8</v>
      </c>
      <c r="F14" s="5" t="s">
        <v>34</v>
      </c>
      <c r="G14" s="5" t="s">
        <v>33</v>
      </c>
      <c r="H14" s="6">
        <v>7</v>
      </c>
      <c r="I14" s="6">
        <f t="shared" si="0"/>
        <v>35</v>
      </c>
      <c r="J14" s="3" t="s">
        <v>169</v>
      </c>
      <c r="K14" s="3" t="s">
        <v>172</v>
      </c>
      <c r="L14" s="9" t="s">
        <v>35</v>
      </c>
    </row>
    <row r="15" spans="1:12" x14ac:dyDescent="0.3">
      <c r="A15" s="3">
        <f t="shared" si="1"/>
        <v>7</v>
      </c>
      <c r="B15" s="3" t="s">
        <v>159</v>
      </c>
      <c r="C15" s="5" t="s">
        <v>10</v>
      </c>
      <c r="D15" s="5" t="s">
        <v>36</v>
      </c>
      <c r="E15" s="5" t="s">
        <v>39</v>
      </c>
      <c r="F15" s="5" t="s">
        <v>38</v>
      </c>
      <c r="G15" s="5" t="s">
        <v>37</v>
      </c>
      <c r="H15" s="6">
        <v>5</v>
      </c>
      <c r="I15" s="6">
        <f t="shared" si="0"/>
        <v>25</v>
      </c>
      <c r="J15" s="3" t="s">
        <v>169</v>
      </c>
      <c r="K15" s="3" t="s">
        <v>172</v>
      </c>
      <c r="L15" s="9" t="s">
        <v>40</v>
      </c>
    </row>
    <row r="16" spans="1:12" x14ac:dyDescent="0.3">
      <c r="A16" s="3">
        <f t="shared" si="1"/>
        <v>8</v>
      </c>
      <c r="B16" s="3" t="s">
        <v>159</v>
      </c>
      <c r="C16" s="5" t="s">
        <v>41</v>
      </c>
      <c r="D16" s="5" t="s">
        <v>42</v>
      </c>
      <c r="E16" s="5" t="s">
        <v>45</v>
      </c>
      <c r="F16" s="5" t="s">
        <v>44</v>
      </c>
      <c r="G16" s="5" t="s">
        <v>43</v>
      </c>
      <c r="H16" s="6">
        <v>4</v>
      </c>
      <c r="I16" s="6">
        <f t="shared" si="0"/>
        <v>20</v>
      </c>
      <c r="J16" s="3" t="s">
        <v>169</v>
      </c>
      <c r="K16" s="3" t="s">
        <v>172</v>
      </c>
      <c r="L16" s="9" t="s">
        <v>46</v>
      </c>
    </row>
    <row r="17" spans="1:12" x14ac:dyDescent="0.3">
      <c r="A17" s="3">
        <f t="shared" si="1"/>
        <v>9</v>
      </c>
      <c r="B17" s="3" t="s">
        <v>159</v>
      </c>
      <c r="C17" s="5" t="s">
        <v>47</v>
      </c>
      <c r="D17" s="5" t="s">
        <v>48</v>
      </c>
      <c r="E17" s="5" t="s">
        <v>8</v>
      </c>
      <c r="F17" s="5" t="s">
        <v>50</v>
      </c>
      <c r="G17" s="5" t="s">
        <v>49</v>
      </c>
      <c r="H17" s="6">
        <v>2</v>
      </c>
      <c r="I17" s="6">
        <f t="shared" si="0"/>
        <v>10</v>
      </c>
      <c r="J17" s="3" t="s">
        <v>169</v>
      </c>
      <c r="K17" s="3" t="s">
        <v>172</v>
      </c>
      <c r="L17" s="9" t="s">
        <v>51</v>
      </c>
    </row>
    <row r="18" spans="1:12" x14ac:dyDescent="0.3">
      <c r="A18" s="3">
        <f t="shared" si="1"/>
        <v>10</v>
      </c>
      <c r="B18" s="3" t="s">
        <v>159</v>
      </c>
      <c r="C18" s="5" t="s">
        <v>52</v>
      </c>
      <c r="D18" s="5" t="s">
        <v>53</v>
      </c>
      <c r="E18" s="5" t="s">
        <v>39</v>
      </c>
      <c r="F18" s="5" t="s">
        <v>55</v>
      </c>
      <c r="G18" s="5" t="s">
        <v>54</v>
      </c>
      <c r="H18" s="6">
        <v>2</v>
      </c>
      <c r="I18" s="6">
        <f t="shared" si="0"/>
        <v>10</v>
      </c>
      <c r="J18" s="3" t="s">
        <v>169</v>
      </c>
      <c r="K18" s="3" t="s">
        <v>172</v>
      </c>
      <c r="L18" s="9" t="s">
        <v>56</v>
      </c>
    </row>
    <row r="19" spans="1:12" x14ac:dyDescent="0.3">
      <c r="A19" s="3">
        <f t="shared" si="1"/>
        <v>11</v>
      </c>
      <c r="B19" s="3" t="s">
        <v>159</v>
      </c>
      <c r="C19" s="5" t="s">
        <v>57</v>
      </c>
      <c r="D19" s="5" t="s">
        <v>58</v>
      </c>
      <c r="E19" s="5" t="s">
        <v>14</v>
      </c>
      <c r="F19" s="5" t="s">
        <v>60</v>
      </c>
      <c r="G19" s="5" t="s">
        <v>59</v>
      </c>
      <c r="H19" s="6">
        <v>2</v>
      </c>
      <c r="I19" s="6">
        <f t="shared" si="0"/>
        <v>10</v>
      </c>
      <c r="J19" s="3" t="s">
        <v>169</v>
      </c>
      <c r="K19" s="3" t="s">
        <v>171</v>
      </c>
      <c r="L19" s="9" t="s">
        <v>61</v>
      </c>
    </row>
    <row r="20" spans="1:12" x14ac:dyDescent="0.3">
      <c r="A20" s="3">
        <f t="shared" si="1"/>
        <v>12</v>
      </c>
      <c r="B20" s="3" t="s">
        <v>160</v>
      </c>
      <c r="C20" s="5" t="s">
        <v>62</v>
      </c>
      <c r="D20" s="5" t="s">
        <v>63</v>
      </c>
      <c r="E20" s="5" t="s">
        <v>65</v>
      </c>
      <c r="F20" s="5" t="s">
        <v>62</v>
      </c>
      <c r="G20" s="5" t="s">
        <v>64</v>
      </c>
      <c r="H20" s="6">
        <v>2</v>
      </c>
      <c r="I20" s="6">
        <f t="shared" si="0"/>
        <v>10</v>
      </c>
      <c r="J20" s="3" t="s">
        <v>169</v>
      </c>
      <c r="K20" s="3" t="s">
        <v>171</v>
      </c>
      <c r="L20" s="9" t="s">
        <v>66</v>
      </c>
    </row>
    <row r="21" spans="1:12" x14ac:dyDescent="0.3">
      <c r="A21" s="3">
        <f t="shared" si="1"/>
        <v>13</v>
      </c>
      <c r="B21" s="3" t="s">
        <v>174</v>
      </c>
      <c r="C21" s="5" t="s">
        <v>67</v>
      </c>
      <c r="D21" s="5" t="s">
        <v>68</v>
      </c>
      <c r="E21" s="5" t="s">
        <v>71</v>
      </c>
      <c r="F21" s="5" t="s">
        <v>70</v>
      </c>
      <c r="G21" s="5" t="s">
        <v>69</v>
      </c>
      <c r="H21" s="6">
        <v>1</v>
      </c>
      <c r="I21" s="6">
        <f t="shared" si="0"/>
        <v>5</v>
      </c>
      <c r="J21" s="3" t="s">
        <v>169</v>
      </c>
      <c r="K21" s="3" t="s">
        <v>171</v>
      </c>
      <c r="L21" s="9" t="s">
        <v>72</v>
      </c>
    </row>
    <row r="22" spans="1:12" x14ac:dyDescent="0.3">
      <c r="A22" s="3">
        <f t="shared" si="1"/>
        <v>14</v>
      </c>
      <c r="B22" s="3" t="s">
        <v>160</v>
      </c>
      <c r="C22" s="5" t="s">
        <v>73</v>
      </c>
      <c r="D22" s="5" t="s">
        <v>74</v>
      </c>
      <c r="E22" s="5" t="s">
        <v>77</v>
      </c>
      <c r="F22" s="5" t="s">
        <v>76</v>
      </c>
      <c r="G22" s="5" t="s">
        <v>75</v>
      </c>
      <c r="H22" s="6">
        <v>1</v>
      </c>
      <c r="I22" s="6">
        <f t="shared" si="0"/>
        <v>5</v>
      </c>
      <c r="J22" s="3" t="s">
        <v>169</v>
      </c>
      <c r="K22" s="3" t="s">
        <v>171</v>
      </c>
      <c r="L22" s="9" t="s">
        <v>78</v>
      </c>
    </row>
    <row r="23" spans="1:12" x14ac:dyDescent="0.3">
      <c r="A23" s="3">
        <f t="shared" si="1"/>
        <v>15</v>
      </c>
      <c r="B23" s="3" t="s">
        <v>160</v>
      </c>
      <c r="C23" s="5" t="s">
        <v>79</v>
      </c>
      <c r="D23" s="5" t="s">
        <v>80</v>
      </c>
      <c r="E23" s="5" t="s">
        <v>82</v>
      </c>
      <c r="F23" s="6" t="s">
        <v>194</v>
      </c>
      <c r="G23" s="5" t="s">
        <v>81</v>
      </c>
      <c r="H23" s="6">
        <v>1</v>
      </c>
      <c r="I23" s="6">
        <f t="shared" si="0"/>
        <v>5</v>
      </c>
      <c r="J23" s="3" t="s">
        <v>169</v>
      </c>
      <c r="K23" s="3" t="s">
        <v>171</v>
      </c>
      <c r="L23" s="9" t="s">
        <v>83</v>
      </c>
    </row>
    <row r="24" spans="1:12" x14ac:dyDescent="0.3">
      <c r="A24" s="3">
        <f t="shared" si="1"/>
        <v>16</v>
      </c>
      <c r="B24" s="3" t="s">
        <v>175</v>
      </c>
      <c r="C24" s="5" t="s">
        <v>84</v>
      </c>
      <c r="D24" s="5" t="s">
        <v>85</v>
      </c>
      <c r="E24" s="5" t="s">
        <v>87</v>
      </c>
      <c r="F24" s="5" t="s">
        <v>88</v>
      </c>
      <c r="G24" s="5" t="s">
        <v>86</v>
      </c>
      <c r="H24" s="6">
        <v>2</v>
      </c>
      <c r="I24" s="6">
        <f t="shared" si="0"/>
        <v>10</v>
      </c>
      <c r="J24" s="3" t="s">
        <v>169</v>
      </c>
      <c r="K24" s="3" t="s">
        <v>171</v>
      </c>
      <c r="L24" s="9" t="s">
        <v>89</v>
      </c>
    </row>
    <row r="25" spans="1:12" x14ac:dyDescent="0.3">
      <c r="A25" s="3">
        <f t="shared" si="1"/>
        <v>17</v>
      </c>
      <c r="B25" s="3" t="s">
        <v>175</v>
      </c>
      <c r="C25" s="5" t="s">
        <v>84</v>
      </c>
      <c r="D25" s="5" t="s">
        <v>90</v>
      </c>
      <c r="E25" s="5" t="s">
        <v>93</v>
      </c>
      <c r="F25" s="5" t="s">
        <v>92</v>
      </c>
      <c r="G25" s="5" t="s">
        <v>91</v>
      </c>
      <c r="H25" s="6">
        <v>1</v>
      </c>
      <c r="I25" s="6">
        <f t="shared" si="0"/>
        <v>5</v>
      </c>
      <c r="J25" s="3" t="s">
        <v>169</v>
      </c>
      <c r="K25" s="3" t="s">
        <v>172</v>
      </c>
      <c r="L25" s="9" t="s">
        <v>94</v>
      </c>
    </row>
    <row r="26" spans="1:12" x14ac:dyDescent="0.3">
      <c r="A26" s="3">
        <f t="shared" si="1"/>
        <v>18</v>
      </c>
      <c r="B26" s="3" t="s">
        <v>175</v>
      </c>
      <c r="C26" s="5" t="s">
        <v>84</v>
      </c>
      <c r="D26" s="5" t="s">
        <v>95</v>
      </c>
      <c r="E26" s="5" t="s">
        <v>98</v>
      </c>
      <c r="F26" s="5" t="s">
        <v>97</v>
      </c>
      <c r="G26" s="5" t="s">
        <v>96</v>
      </c>
      <c r="H26" s="6">
        <v>1</v>
      </c>
      <c r="I26" s="6">
        <f t="shared" si="0"/>
        <v>5</v>
      </c>
      <c r="J26" s="3" t="s">
        <v>169</v>
      </c>
      <c r="K26" s="3" t="s">
        <v>172</v>
      </c>
      <c r="L26" s="10" t="s">
        <v>179</v>
      </c>
    </row>
    <row r="27" spans="1:12" x14ac:dyDescent="0.3">
      <c r="A27" s="3">
        <f t="shared" si="1"/>
        <v>19</v>
      </c>
      <c r="B27" s="3" t="s">
        <v>173</v>
      </c>
      <c r="C27" s="5" t="s">
        <v>99</v>
      </c>
      <c r="D27" s="5" t="s">
        <v>100</v>
      </c>
      <c r="E27" s="5" t="s">
        <v>178</v>
      </c>
      <c r="F27" s="5" t="s">
        <v>177</v>
      </c>
      <c r="G27" s="5" t="s">
        <v>101</v>
      </c>
      <c r="H27" s="6">
        <v>2</v>
      </c>
      <c r="I27" s="6">
        <f t="shared" si="0"/>
        <v>10</v>
      </c>
      <c r="J27" s="3" t="s">
        <v>169</v>
      </c>
      <c r="K27" s="3" t="s">
        <v>172</v>
      </c>
      <c r="L27" s="9" t="s">
        <v>176</v>
      </c>
    </row>
    <row r="28" spans="1:12" x14ac:dyDescent="0.3">
      <c r="A28" s="3">
        <f t="shared" si="1"/>
        <v>20</v>
      </c>
      <c r="B28" s="3" t="s">
        <v>162</v>
      </c>
      <c r="C28" s="5" t="s">
        <v>102</v>
      </c>
      <c r="D28" s="5" t="s">
        <v>103</v>
      </c>
      <c r="E28" s="5" t="s">
        <v>106</v>
      </c>
      <c r="F28" s="5" t="s">
        <v>105</v>
      </c>
      <c r="G28" s="5" t="s">
        <v>104</v>
      </c>
      <c r="H28" s="6">
        <v>1</v>
      </c>
      <c r="I28" s="6">
        <f t="shared" si="0"/>
        <v>5</v>
      </c>
      <c r="J28" s="3" t="s">
        <v>169</v>
      </c>
      <c r="K28" s="3" t="s">
        <v>172</v>
      </c>
      <c r="L28" s="9" t="s">
        <v>107</v>
      </c>
    </row>
    <row r="29" spans="1:12" x14ac:dyDescent="0.3">
      <c r="A29" s="3">
        <f t="shared" si="1"/>
        <v>21</v>
      </c>
      <c r="B29" s="3" t="s">
        <v>163</v>
      </c>
      <c r="C29" s="5" t="s">
        <v>108</v>
      </c>
      <c r="D29" s="5" t="s">
        <v>109</v>
      </c>
      <c r="E29" s="5" t="s">
        <v>8</v>
      </c>
      <c r="F29" s="5" t="s">
        <v>111</v>
      </c>
      <c r="G29" s="5" t="s">
        <v>110</v>
      </c>
      <c r="H29" s="6">
        <v>8</v>
      </c>
      <c r="I29" s="6">
        <f t="shared" si="0"/>
        <v>40</v>
      </c>
      <c r="J29" s="3" t="s">
        <v>169</v>
      </c>
      <c r="K29" s="3" t="s">
        <v>172</v>
      </c>
      <c r="L29" s="9" t="s">
        <v>112</v>
      </c>
    </row>
    <row r="30" spans="1:12" x14ac:dyDescent="0.3">
      <c r="A30" s="3">
        <f t="shared" si="1"/>
        <v>22</v>
      </c>
      <c r="B30" s="3" t="s">
        <v>163</v>
      </c>
      <c r="C30" s="5" t="s">
        <v>113</v>
      </c>
      <c r="D30" s="5" t="s">
        <v>114</v>
      </c>
      <c r="E30" s="5" t="s">
        <v>8</v>
      </c>
      <c r="F30" s="5" t="s">
        <v>116</v>
      </c>
      <c r="G30" s="5" t="s">
        <v>115</v>
      </c>
      <c r="H30" s="6">
        <v>2</v>
      </c>
      <c r="I30" s="6">
        <f t="shared" si="0"/>
        <v>10</v>
      </c>
      <c r="J30" s="3" t="s">
        <v>169</v>
      </c>
      <c r="K30" s="3" t="s">
        <v>172</v>
      </c>
      <c r="L30" s="9" t="s">
        <v>117</v>
      </c>
    </row>
    <row r="31" spans="1:12" x14ac:dyDescent="0.3">
      <c r="A31" s="3">
        <f t="shared" si="1"/>
        <v>23</v>
      </c>
      <c r="B31" s="3" t="s">
        <v>163</v>
      </c>
      <c r="C31" s="5" t="s">
        <v>118</v>
      </c>
      <c r="D31" s="5" t="s">
        <v>119</v>
      </c>
      <c r="E31" s="5" t="s">
        <v>8</v>
      </c>
      <c r="F31" s="5" t="s">
        <v>121</v>
      </c>
      <c r="G31" s="5" t="s">
        <v>120</v>
      </c>
      <c r="H31" s="6">
        <v>2</v>
      </c>
      <c r="I31" s="6">
        <f t="shared" si="0"/>
        <v>10</v>
      </c>
      <c r="J31" s="3" t="s">
        <v>169</v>
      </c>
      <c r="K31" s="3" t="s">
        <v>172</v>
      </c>
      <c r="L31" s="9" t="s">
        <v>122</v>
      </c>
    </row>
    <row r="32" spans="1:12" x14ac:dyDescent="0.3">
      <c r="A32" s="3">
        <f>A31+1</f>
        <v>24</v>
      </c>
      <c r="B32" s="3" t="s">
        <v>163</v>
      </c>
      <c r="C32" s="5" t="s">
        <v>123</v>
      </c>
      <c r="D32" s="5" t="s">
        <v>124</v>
      </c>
      <c r="E32" s="5" t="s">
        <v>8</v>
      </c>
      <c r="F32" s="5" t="s">
        <v>126</v>
      </c>
      <c r="G32" s="5" t="s">
        <v>125</v>
      </c>
      <c r="H32" s="6">
        <v>2</v>
      </c>
      <c r="I32" s="6">
        <f t="shared" si="0"/>
        <v>10</v>
      </c>
      <c r="J32" s="3" t="s">
        <v>169</v>
      </c>
      <c r="K32" s="3" t="s">
        <v>172</v>
      </c>
      <c r="L32" s="9" t="s">
        <v>127</v>
      </c>
    </row>
    <row r="33" spans="1:12" x14ac:dyDescent="0.3">
      <c r="A33" s="3">
        <f>A32+1</f>
        <v>25</v>
      </c>
      <c r="B33" s="3" t="s">
        <v>163</v>
      </c>
      <c r="C33" s="5" t="s">
        <v>128</v>
      </c>
      <c r="D33" s="5" t="s">
        <v>129</v>
      </c>
      <c r="E33" s="5" t="s">
        <v>8</v>
      </c>
      <c r="F33" s="5" t="s">
        <v>121</v>
      </c>
      <c r="G33" s="5" t="s">
        <v>130</v>
      </c>
      <c r="H33" s="6">
        <v>1</v>
      </c>
      <c r="I33" s="6">
        <f t="shared" si="0"/>
        <v>5</v>
      </c>
      <c r="J33" s="3" t="s">
        <v>169</v>
      </c>
      <c r="K33" s="3" t="s">
        <v>172</v>
      </c>
      <c r="L33" s="9" t="s">
        <v>131</v>
      </c>
    </row>
    <row r="34" spans="1:12" x14ac:dyDescent="0.3">
      <c r="A34" s="3">
        <f t="shared" ref="A34:A38" si="2">A33+1</f>
        <v>26</v>
      </c>
      <c r="B34" s="3" t="s">
        <v>163</v>
      </c>
      <c r="C34" s="5" t="s">
        <v>132</v>
      </c>
      <c r="D34" s="5" t="s">
        <v>133</v>
      </c>
      <c r="E34" s="5" t="s">
        <v>8</v>
      </c>
      <c r="F34" s="5" t="s">
        <v>135</v>
      </c>
      <c r="G34" s="5" t="s">
        <v>134</v>
      </c>
      <c r="H34" s="6">
        <v>1</v>
      </c>
      <c r="I34" s="6">
        <f t="shared" si="0"/>
        <v>5</v>
      </c>
      <c r="J34" s="3" t="s">
        <v>169</v>
      </c>
      <c r="K34" s="3" t="s">
        <v>172</v>
      </c>
      <c r="L34" s="9" t="s">
        <v>136</v>
      </c>
    </row>
    <row r="35" spans="1:12" x14ac:dyDescent="0.3">
      <c r="A35" s="3">
        <f t="shared" si="2"/>
        <v>27</v>
      </c>
      <c r="B35" s="3" t="s">
        <v>163</v>
      </c>
      <c r="C35" s="5" t="s">
        <v>137</v>
      </c>
      <c r="D35" s="5" t="s">
        <v>138</v>
      </c>
      <c r="E35" s="5" t="s">
        <v>8</v>
      </c>
      <c r="F35" s="5" t="s">
        <v>140</v>
      </c>
      <c r="G35" s="5" t="s">
        <v>139</v>
      </c>
      <c r="H35" s="6">
        <v>1</v>
      </c>
      <c r="I35" s="6">
        <f t="shared" si="0"/>
        <v>5</v>
      </c>
      <c r="J35" s="3" t="s">
        <v>169</v>
      </c>
      <c r="K35" s="3" t="s">
        <v>172</v>
      </c>
      <c r="L35" s="9" t="s">
        <v>141</v>
      </c>
    </row>
    <row r="36" spans="1:12" x14ac:dyDescent="0.3">
      <c r="A36" s="3">
        <f t="shared" si="2"/>
        <v>28</v>
      </c>
      <c r="B36" s="3" t="s">
        <v>163</v>
      </c>
      <c r="C36" s="5" t="s">
        <v>142</v>
      </c>
      <c r="D36" s="5" t="s">
        <v>143</v>
      </c>
      <c r="E36" s="5" t="s">
        <v>8</v>
      </c>
      <c r="F36" s="5" t="s">
        <v>145</v>
      </c>
      <c r="G36" s="5" t="s">
        <v>144</v>
      </c>
      <c r="H36" s="6">
        <v>3</v>
      </c>
      <c r="I36" s="6">
        <f t="shared" si="0"/>
        <v>15</v>
      </c>
      <c r="J36" s="3" t="s">
        <v>169</v>
      </c>
      <c r="K36" s="3" t="s">
        <v>172</v>
      </c>
      <c r="L36" s="9" t="s">
        <v>146</v>
      </c>
    </row>
    <row r="37" spans="1:12" x14ac:dyDescent="0.3">
      <c r="A37" s="3">
        <f t="shared" si="2"/>
        <v>29</v>
      </c>
      <c r="B37" s="3" t="s">
        <v>161</v>
      </c>
      <c r="C37" s="5" t="s">
        <v>147</v>
      </c>
      <c r="D37" s="5" t="s">
        <v>148</v>
      </c>
      <c r="E37" s="5" t="s">
        <v>150</v>
      </c>
      <c r="F37" s="6" t="s">
        <v>192</v>
      </c>
      <c r="G37" s="5" t="s">
        <v>149</v>
      </c>
      <c r="H37" s="6">
        <v>1</v>
      </c>
      <c r="I37" s="6">
        <f t="shared" si="0"/>
        <v>5</v>
      </c>
      <c r="J37" s="3" t="s">
        <v>169</v>
      </c>
      <c r="K37" s="3" t="s">
        <v>172</v>
      </c>
      <c r="L37" s="9" t="s">
        <v>151</v>
      </c>
    </row>
    <row r="38" spans="1:12" x14ac:dyDescent="0.3">
      <c r="A38" s="3">
        <f t="shared" si="2"/>
        <v>30</v>
      </c>
      <c r="B38" s="3" t="s">
        <v>161</v>
      </c>
      <c r="C38" s="5" t="s">
        <v>152</v>
      </c>
      <c r="D38" s="5" t="s">
        <v>153</v>
      </c>
      <c r="E38" s="5" t="s">
        <v>155</v>
      </c>
      <c r="F38" s="6" t="s">
        <v>193</v>
      </c>
      <c r="G38" s="5" t="s">
        <v>154</v>
      </c>
      <c r="H38" s="6">
        <v>1</v>
      </c>
      <c r="I38" s="6">
        <f t="shared" si="0"/>
        <v>5</v>
      </c>
      <c r="J38" s="3" t="s">
        <v>169</v>
      </c>
      <c r="K38" s="3" t="s">
        <v>172</v>
      </c>
      <c r="L38" s="9" t="s">
        <v>156</v>
      </c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</sheetData>
  <mergeCells count="5">
    <mergeCell ref="A1:A6"/>
    <mergeCell ref="F1:G1"/>
    <mergeCell ref="E2:G4"/>
    <mergeCell ref="F5:G5"/>
    <mergeCell ref="F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TG21_Slave_Device_Amply_V1.2</vt:lpstr>
      <vt:lpstr>TG21_Slave_Device_Amply_V1.2!Print_Titles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2026-05-12T09:57:35Z</dcterms:created>
  <dcterms:modified xsi:type="dcterms:W3CDTF">2026-05-13T01:00:47Z</dcterms:modified>
</cp:coreProperties>
</file>